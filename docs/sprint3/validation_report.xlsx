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 Report" sheetId="2" state="visible" r:id="rId2"/>
    <sheet xmlns:r="http://schemas.openxmlformats.org/officeDocument/2006/relationships" name="Dataset Check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Validation Rule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3"/>
    </font>
    <font>
      <b val="1"/>
      <color rgb="00FFFFFF"/>
    </font>
    <font>
      <b val="1"/>
      <sz val="14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2" borderId="2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ValidationChecks" displayName="ValidationChecks" ref="A3:J35" headerRowCount="1">
  <autoFilter ref="A3:J35"/>
  <tableColumns count="10">
    <tableColumn id="1" name="Check ID"/>
    <tableColumn id="2" name="Layer"/>
    <tableColumn id="3" name="Dataset / Table"/>
    <tableColumn id="4" name="Validation Category"/>
    <tableColumn id="5" name="Validation Rule"/>
    <tableColumn id="6" name="Expected Result"/>
    <tableColumn id="7" name="Actual Result"/>
    <tableColumn id="8" name="Status"/>
    <tableColumn id="9" name="Severity"/>
    <tableColumn id="10" name="Remarks"/>
  </tableColumns>
  <tableStyleInfo name="TableStyleMedium2" showRowStripes="1"/>
</table>
</file>

<file path=xl/tables/table2.xml><?xml version="1.0" encoding="utf-8"?>
<table xmlns="http://schemas.openxmlformats.org/spreadsheetml/2006/main" id="2" name="DatasetChecks" displayName="DatasetChecks" ref="A3:H14" headerRowCount="1">
  <autoFilter ref="A3:H14"/>
  <tableColumns count="8">
    <tableColumn id="1" name="Dataset"/>
    <tableColumn id="2" name="Source Rows"/>
    <tableColumn id="3" name="Bronze/Staging Rows"/>
    <tableColumn id="4" name="Silver Rows"/>
    <tableColumn id="5" name="Gold Rows"/>
    <tableColumn id="6" name="Null Issues"/>
    <tableColumn id="7" name="Duplicate Issues"/>
    <tableColumn id="8" name="Overall Status"/>
  </tableColumns>
  <tableStyleInfo name="TableStyleMedium4" showRowStripes="1"/>
</table>
</file>

<file path=xl/tables/table3.xml><?xml version="1.0" encoding="utf-8"?>
<table xmlns="http://schemas.openxmlformats.org/spreadsheetml/2006/main" id="3" name="ReconciliationChecks" displayName="ReconciliationChecks" ref="A3:I9" headerRowCount="1">
  <autoFilter ref="A3:I9"/>
  <tableColumns count="9">
    <tableColumn id="1" name="Reconciliation ID"/>
    <tableColumn id="2" name="Domain"/>
    <tableColumn id="3" name="Source Metric"/>
    <tableColumn id="4" name="Source Value"/>
    <tableColumn id="5" name="Target Metric"/>
    <tableColumn id="6" name="Target Value"/>
    <tableColumn id="7" name="Difference"/>
    <tableColumn id="8" name="Status"/>
    <tableColumn id="9" name="Notes"/>
  </tableColumns>
  <tableStyleInfo name="TableStyleMedium2" showRowStripes="1"/>
</table>
</file>

<file path=xl/tables/table4.xml><?xml version="1.0" encoding="utf-8"?>
<table xmlns="http://schemas.openxmlformats.org/spreadsheetml/2006/main" id="4" name="ValidationRules" displayName="ValidationRules" ref="A3:E12" headerRowCount="1">
  <autoFilter ref="A3:E12"/>
  <tableColumns count="5">
    <tableColumn id="1" name="Category"/>
    <tableColumn id="2" name="Rule"/>
    <tableColumn id="3" name="Purpose"/>
    <tableColumn id="4" name="Typical SQL/Python Check"/>
    <tableColumn id="5" name="Pass Condi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6" customWidth="1" min="3" max="3"/>
    <col width="28" customWidth="1" min="4" max="4"/>
    <col width="12" customWidth="1" min="5" max="5"/>
    <col width="42" customWidth="1" min="6" max="6"/>
    <col width="12" customWidth="1" min="7" max="7"/>
    <col width="12" customWidth="1" min="8" max="8"/>
  </cols>
  <sheetData>
    <row r="1" ht="28" customHeight="1">
      <c r="A1" s="1" t="inlineStr">
        <is>
          <t>Enterprise Healthcare Data Platform (EHDP) – Validation Report</t>
        </is>
      </c>
    </row>
    <row r="2"/>
    <row r="3">
      <c r="A3" s="2" t="inlineStr">
        <is>
          <t>Project</t>
        </is>
      </c>
      <c r="B3" s="3" t="inlineStr">
        <is>
          <t>UC2 – Enterprise Healthcare Data Platform</t>
        </is>
      </c>
    </row>
    <row r="4">
      <c r="A4" s="2" t="inlineStr">
        <is>
          <t>Data Source</t>
        </is>
      </c>
      <c r="B4" s="3" t="inlineStr">
        <is>
          <t>Synthea synthetic healthcare datasets</t>
        </is>
      </c>
    </row>
    <row r="5">
      <c r="A5" s="2" t="inlineStr">
        <is>
          <t>Architecture</t>
        </is>
      </c>
      <c r="B5" s="3" t="inlineStr">
        <is>
          <t>Bronze → Silver → Gold</t>
        </is>
      </c>
    </row>
    <row r="6">
      <c r="A6" s="2" t="inlineStr">
        <is>
          <t>ETL Tool</t>
        </is>
      </c>
      <c r="B6" s="3" t="inlineStr">
        <is>
          <t>Pentaho Data Integration (Spoon)</t>
        </is>
      </c>
    </row>
    <row r="7">
      <c r="A7" s="2" t="inlineStr">
        <is>
          <t>Database</t>
        </is>
      </c>
      <c r="B7" s="3" t="inlineStr">
        <is>
          <t>PostgreSQL</t>
        </is>
      </c>
    </row>
    <row r="8">
      <c r="A8" s="2" t="inlineStr">
        <is>
          <t>Validation Scope</t>
        </is>
      </c>
      <c r="B8" s="3" t="inlineStr">
        <is>
          <t>Data quality, integrity, schema, reconciliation and ETL checks</t>
        </is>
      </c>
    </row>
    <row r="9">
      <c r="A9" s="2" t="inlineStr">
        <is>
          <t>Report Status</t>
        </is>
      </c>
      <c r="B9" s="3" t="inlineStr">
        <is>
          <t>Validation framework prepared; execution results must be populated from the project environment</t>
        </is>
      </c>
    </row>
    <row r="10"/>
    <row r="11"/>
    <row r="12">
      <c r="A12" s="4" t="inlineStr">
        <is>
          <t>Validation Status Summary</t>
        </is>
      </c>
      <c r="F12" s="4" t="inlineStr">
        <is>
          <t>Overall Result</t>
        </is>
      </c>
    </row>
    <row r="13">
      <c r="A13" s="5" t="inlineStr">
        <is>
          <t>Status</t>
        </is>
      </c>
      <c r="B13" s="5" t="inlineStr">
        <is>
          <t>Count</t>
        </is>
      </c>
      <c r="C13" s="5" t="inlineStr">
        <is>
          <t>Meaning</t>
        </is>
      </c>
      <c r="D13" s="5" t="inlineStr">
        <is>
          <t>Action</t>
        </is>
      </c>
      <c r="F13" s="6">
        <f>IF(B15&gt;0,"FAIL",IF(B16&gt;0,"WARNING",IF(B17&gt;0,"PENDING","PASS")))</f>
        <v/>
      </c>
    </row>
    <row r="14">
      <c r="A14" s="3" t="inlineStr">
        <is>
          <t>PASS</t>
        </is>
      </c>
      <c r="B14" s="3">
        <f>COUNTIF('Validation Report'!$H:$H,"PASS")</f>
        <v/>
      </c>
      <c r="C14" s="3" t="inlineStr">
        <is>
          <t>Validation criterion satisfied</t>
        </is>
      </c>
      <c r="D14" s="3" t="inlineStr">
        <is>
          <t>No action</t>
        </is>
      </c>
    </row>
    <row r="15">
      <c r="A15" s="3" t="inlineStr">
        <is>
          <t>FAIL</t>
        </is>
      </c>
      <c r="B15" s="3">
        <f>COUNTIF('Validation Report'!$H:$H,"FAIL")</f>
        <v/>
      </c>
      <c r="C15" s="3" t="inlineStr">
        <is>
          <t>Validation criterion not satisfied</t>
        </is>
      </c>
      <c r="D15" s="3" t="inlineStr">
        <is>
          <t>Investigate and correct</t>
        </is>
      </c>
    </row>
    <row r="16">
      <c r="A16" s="3" t="inlineStr">
        <is>
          <t>WARNING</t>
        </is>
      </c>
      <c r="B16" s="3">
        <f>COUNTIF('Validation Report'!$H:$H,"WARNING")</f>
        <v/>
      </c>
      <c r="C16" s="3" t="inlineStr">
        <is>
          <t>Potential issue requiring review</t>
        </is>
      </c>
      <c r="D16" s="3" t="inlineStr">
        <is>
          <t>Review manually</t>
        </is>
      </c>
    </row>
    <row r="17">
      <c r="A17" s="3" t="inlineStr">
        <is>
          <t>PENDING</t>
        </is>
      </c>
      <c r="B17" s="3">
        <f>COUNTIF('Validation Report'!$H:$H,"PENDING")</f>
        <v/>
      </c>
      <c r="C17" s="3" t="inlineStr">
        <is>
          <t>Check has not yet been executed</t>
        </is>
      </c>
      <c r="D17" s="3" t="inlineStr">
        <is>
          <t>Run check and enter result</t>
        </is>
      </c>
    </row>
  </sheetData>
  <mergeCells count="4">
    <mergeCell ref="A12:D12"/>
    <mergeCell ref="F13:H14"/>
    <mergeCell ref="F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23" customWidth="1" min="4" max="4"/>
    <col width="42" customWidth="1" min="5" max="5"/>
    <col width="30" customWidth="1" min="6" max="6"/>
    <col width="28" customWidth="1" min="7" max="7"/>
    <col width="12" customWidth="1" min="8" max="8"/>
    <col width="12" customWidth="1" min="9" max="9"/>
    <col width="40" customWidth="1" min="10" max="10"/>
  </cols>
  <sheetData>
    <row r="1">
      <c r="A1" s="7" t="inlineStr">
        <is>
          <t>Detailed Validation Checks</t>
        </is>
      </c>
    </row>
    <row r="2"/>
    <row r="3">
      <c r="A3" s="5" t="inlineStr">
        <is>
          <t>Check ID</t>
        </is>
      </c>
      <c r="B3" s="5" t="inlineStr">
        <is>
          <t>Layer</t>
        </is>
      </c>
      <c r="C3" s="5" t="inlineStr">
        <is>
          <t>Dataset / Table</t>
        </is>
      </c>
      <c r="D3" s="5" t="inlineStr">
        <is>
          <t>Validation Category</t>
        </is>
      </c>
      <c r="E3" s="5" t="inlineStr">
        <is>
          <t>Validation Rule</t>
        </is>
      </c>
      <c r="F3" s="5" t="inlineStr">
        <is>
          <t>Expected Result</t>
        </is>
      </c>
      <c r="G3" s="5" t="inlineStr">
        <is>
          <t>Actual Result</t>
        </is>
      </c>
      <c r="H3" s="5" t="inlineStr">
        <is>
          <t>Status</t>
        </is>
      </c>
      <c r="I3" s="5" t="inlineStr">
        <is>
          <t>Severity</t>
        </is>
      </c>
      <c r="J3" s="5" t="inlineStr">
        <is>
          <t>Remarks</t>
        </is>
      </c>
    </row>
    <row r="4">
      <c r="A4" s="3" t="inlineStr">
        <is>
          <t>VAL-001</t>
        </is>
      </c>
      <c r="B4" s="3" t="inlineStr">
        <is>
          <t>Bronze</t>
        </is>
      </c>
      <c r="C4" s="3" t="inlineStr">
        <is>
          <t>patients</t>
        </is>
      </c>
      <c r="D4" s="3" t="inlineStr">
        <is>
          <t>Completeness</t>
        </is>
      </c>
      <c r="E4" s="3" t="inlineStr">
        <is>
          <t>Patient source data is loaded into Bronze/staging</t>
        </is>
      </c>
      <c r="F4" s="3" t="inlineStr">
        <is>
          <t>Source row count = staging row count</t>
        </is>
      </c>
      <c r="G4" s="3" t="inlineStr"/>
      <c r="H4" s="3" t="inlineStr">
        <is>
          <t>PENDING</t>
        </is>
      </c>
      <c r="I4" s="3" t="inlineStr">
        <is>
          <t>High</t>
        </is>
      </c>
      <c r="J4" s="3" t="inlineStr">
        <is>
          <t>Enter row counts from source and staging</t>
        </is>
      </c>
    </row>
    <row r="5">
      <c r="A5" s="3" t="inlineStr">
        <is>
          <t>VAL-002</t>
        </is>
      </c>
      <c r="B5" s="3" t="inlineStr">
        <is>
          <t>Bronze</t>
        </is>
      </c>
      <c r="C5" s="3" t="inlineStr">
        <is>
          <t>encounters</t>
        </is>
      </c>
      <c r="D5" s="3" t="inlineStr">
        <is>
          <t>Completeness</t>
        </is>
      </c>
      <c r="E5" s="3" t="inlineStr">
        <is>
          <t>Encounter source data is loaded into Bronze/staging</t>
        </is>
      </c>
      <c r="F5" s="3" t="inlineStr">
        <is>
          <t>Source row count = staging row count</t>
        </is>
      </c>
      <c r="G5" s="3" t="inlineStr"/>
      <c r="H5" s="3" t="inlineStr">
        <is>
          <t>PENDING</t>
        </is>
      </c>
      <c r="I5" s="3" t="inlineStr">
        <is>
          <t>High</t>
        </is>
      </c>
      <c r="J5" s="3" t="inlineStr">
        <is>
          <t>Enter row counts from source and staging</t>
        </is>
      </c>
    </row>
    <row r="6">
      <c r="A6" s="3" t="inlineStr">
        <is>
          <t>VAL-003</t>
        </is>
      </c>
      <c r="B6" s="3" t="inlineStr">
        <is>
          <t>Bronze</t>
        </is>
      </c>
      <c r="C6" s="3" t="inlineStr">
        <is>
          <t>conditions</t>
        </is>
      </c>
      <c r="D6" s="3" t="inlineStr">
        <is>
          <t>Completeness</t>
        </is>
      </c>
      <c r="E6" s="3" t="inlineStr">
        <is>
          <t>Condition source data is loaded into Bronze/staging</t>
        </is>
      </c>
      <c r="F6" s="3" t="inlineStr">
        <is>
          <t>Source row count = staging row count</t>
        </is>
      </c>
      <c r="G6" s="3" t="inlineStr"/>
      <c r="H6" s="3" t="inlineStr">
        <is>
          <t>PENDING</t>
        </is>
      </c>
      <c r="I6" s="3" t="inlineStr">
        <is>
          <t>High</t>
        </is>
      </c>
      <c r="J6" s="3" t="inlineStr">
        <is>
          <t>Enter row counts from source and staging</t>
        </is>
      </c>
    </row>
    <row r="7">
      <c r="A7" s="3" t="inlineStr">
        <is>
          <t>VAL-004</t>
        </is>
      </c>
      <c r="B7" s="3" t="inlineStr">
        <is>
          <t>Bronze</t>
        </is>
      </c>
      <c r="C7" s="3" t="inlineStr">
        <is>
          <t>procedures</t>
        </is>
      </c>
      <c r="D7" s="3" t="inlineStr">
        <is>
          <t>Completeness</t>
        </is>
      </c>
      <c r="E7" s="3" t="inlineStr">
        <is>
          <t>Procedure source data is loaded into Bronze/staging</t>
        </is>
      </c>
      <c r="F7" s="3" t="inlineStr">
        <is>
          <t>Source row count = staging row count</t>
        </is>
      </c>
      <c r="G7" s="3" t="inlineStr"/>
      <c r="H7" s="3" t="inlineStr">
        <is>
          <t>PENDING</t>
        </is>
      </c>
      <c r="I7" s="3" t="inlineStr">
        <is>
          <t>High</t>
        </is>
      </c>
      <c r="J7" s="3" t="inlineStr">
        <is>
          <t>Enter row counts from source and staging</t>
        </is>
      </c>
    </row>
    <row r="8">
      <c r="A8" s="3" t="inlineStr">
        <is>
          <t>VAL-005</t>
        </is>
      </c>
      <c r="B8" s="3" t="inlineStr">
        <is>
          <t>Bronze</t>
        </is>
      </c>
      <c r="C8" s="3" t="inlineStr">
        <is>
          <t>observations</t>
        </is>
      </c>
      <c r="D8" s="3" t="inlineStr">
        <is>
          <t>Completeness</t>
        </is>
      </c>
      <c r="E8" s="3" t="inlineStr">
        <is>
          <t>Observation source data is loaded into Bronze/staging</t>
        </is>
      </c>
      <c r="F8" s="3" t="inlineStr">
        <is>
          <t>Source row count = staging row count</t>
        </is>
      </c>
      <c r="G8" s="3" t="inlineStr"/>
      <c r="H8" s="3" t="inlineStr">
        <is>
          <t>PENDING</t>
        </is>
      </c>
      <c r="I8" s="3" t="inlineStr">
        <is>
          <t>High</t>
        </is>
      </c>
      <c r="J8" s="3" t="inlineStr">
        <is>
          <t>Enter row counts from source and staging</t>
        </is>
      </c>
    </row>
    <row r="9">
      <c r="A9" s="3" t="inlineStr">
        <is>
          <t>VAL-006</t>
        </is>
      </c>
      <c r="B9" s="3" t="inlineStr">
        <is>
          <t>Silver</t>
        </is>
      </c>
      <c r="C9" s="3" t="inlineStr">
        <is>
          <t>patients</t>
        </is>
      </c>
      <c r="D9" s="3" t="inlineStr">
        <is>
          <t>Null Check</t>
        </is>
      </c>
      <c r="E9" s="3" t="inlineStr">
        <is>
          <t>Primary patient identifier is not null</t>
        </is>
      </c>
      <c r="F9" s="3" t="inlineStr">
        <is>
          <t>0 null identifiers</t>
        </is>
      </c>
      <c r="G9" s="3" t="inlineStr"/>
      <c r="H9" s="3" t="inlineStr">
        <is>
          <t>PENDING</t>
        </is>
      </c>
      <c r="I9" s="3" t="inlineStr">
        <is>
          <t>Critical</t>
        </is>
      </c>
      <c r="J9" s="3" t="inlineStr"/>
    </row>
    <row r="10">
      <c r="A10" s="3" t="inlineStr">
        <is>
          <t>VAL-007</t>
        </is>
      </c>
      <c r="B10" s="3" t="inlineStr">
        <is>
          <t>Silver</t>
        </is>
      </c>
      <c r="C10" s="3" t="inlineStr">
        <is>
          <t>encounters</t>
        </is>
      </c>
      <c r="D10" s="3" t="inlineStr">
        <is>
          <t>Null Check</t>
        </is>
      </c>
      <c r="E10" s="3" t="inlineStr">
        <is>
          <t>Primary encounter identifier is not null</t>
        </is>
      </c>
      <c r="F10" s="3" t="inlineStr">
        <is>
          <t>0 null identifiers</t>
        </is>
      </c>
      <c r="G10" s="3" t="inlineStr"/>
      <c r="H10" s="3" t="inlineStr">
        <is>
          <t>PENDING</t>
        </is>
      </c>
      <c r="I10" s="3" t="inlineStr">
        <is>
          <t>Critical</t>
        </is>
      </c>
      <c r="J10" s="3" t="inlineStr"/>
    </row>
    <row r="11">
      <c r="A11" s="3" t="inlineStr">
        <is>
          <t>VAL-008</t>
        </is>
      </c>
      <c r="B11" s="3" t="inlineStr">
        <is>
          <t>Silver</t>
        </is>
      </c>
      <c r="C11" s="3" t="inlineStr">
        <is>
          <t>observations</t>
        </is>
      </c>
      <c r="D11" s="3" t="inlineStr">
        <is>
          <t>Null Check</t>
        </is>
      </c>
      <c r="E11" s="3" t="inlineStr">
        <is>
          <t>Required observation fields are populated</t>
        </is>
      </c>
      <c r="F11" s="3" t="inlineStr">
        <is>
          <t>0 unexpected nulls</t>
        </is>
      </c>
      <c r="G11" s="3" t="inlineStr"/>
      <c r="H11" s="3" t="inlineStr">
        <is>
          <t>PENDING</t>
        </is>
      </c>
      <c r="I11" s="3" t="inlineStr">
        <is>
          <t>High</t>
        </is>
      </c>
      <c r="J11" s="3" t="inlineStr">
        <is>
          <t>Check patient/encounter/code fields according to target schema</t>
        </is>
      </c>
    </row>
    <row r="12">
      <c r="A12" s="3" t="inlineStr">
        <is>
          <t>VAL-009</t>
        </is>
      </c>
      <c r="B12" s="3" t="inlineStr">
        <is>
          <t>Silver</t>
        </is>
      </c>
      <c r="C12" s="3" t="inlineStr">
        <is>
          <t>patients</t>
        </is>
      </c>
      <c r="D12" s="3" t="inlineStr">
        <is>
          <t>Duplicate Check</t>
        </is>
      </c>
      <c r="E12" s="3" t="inlineStr">
        <is>
          <t>Patient identifiers are unique</t>
        </is>
      </c>
      <c r="F12" s="3" t="inlineStr">
        <is>
          <t>0 duplicate IDs</t>
        </is>
      </c>
      <c r="G12" s="3" t="inlineStr"/>
      <c r="H12" s="3" t="inlineStr">
        <is>
          <t>PENDING</t>
        </is>
      </c>
      <c r="I12" s="3" t="inlineStr">
        <is>
          <t>Critical</t>
        </is>
      </c>
      <c r="J12" s="3" t="inlineStr"/>
    </row>
    <row r="13">
      <c r="A13" s="3" t="inlineStr">
        <is>
          <t>VAL-010</t>
        </is>
      </c>
      <c r="B13" s="3" t="inlineStr">
        <is>
          <t>Silver</t>
        </is>
      </c>
      <c r="C13" s="3" t="inlineStr">
        <is>
          <t>encounters</t>
        </is>
      </c>
      <c r="D13" s="3" t="inlineStr">
        <is>
          <t>Duplicate Check</t>
        </is>
      </c>
      <c r="E13" s="3" t="inlineStr">
        <is>
          <t>Encounter identifiers are unique</t>
        </is>
      </c>
      <c r="F13" s="3" t="inlineStr">
        <is>
          <t>0 duplicate IDs</t>
        </is>
      </c>
      <c r="G13" s="3" t="inlineStr"/>
      <c r="H13" s="3" t="inlineStr">
        <is>
          <t>PENDING</t>
        </is>
      </c>
      <c r="I13" s="3" t="inlineStr">
        <is>
          <t>Critical</t>
        </is>
      </c>
      <c r="J13" s="3" t="inlineStr"/>
    </row>
    <row r="14">
      <c r="A14" s="3" t="inlineStr">
        <is>
          <t>VAL-011</t>
        </is>
      </c>
      <c r="B14" s="3" t="inlineStr">
        <is>
          <t>Silver</t>
        </is>
      </c>
      <c r="C14" s="3" t="inlineStr">
        <is>
          <t>observations</t>
        </is>
      </c>
      <c r="D14" s="3" t="inlineStr">
        <is>
          <t>Duplicate Check</t>
        </is>
      </c>
      <c r="E14" s="3" t="inlineStr">
        <is>
          <t>Duplicate observation records are identified and handled</t>
        </is>
      </c>
      <c r="F14" s="3" t="inlineStr">
        <is>
          <t>0 unresolved duplicates</t>
        </is>
      </c>
      <c r="G14" s="3" t="inlineStr"/>
      <c r="H14" s="3" t="inlineStr">
        <is>
          <t>PENDING</t>
        </is>
      </c>
      <c r="I14" s="3" t="inlineStr">
        <is>
          <t>Medium</t>
        </is>
      </c>
      <c r="J14" s="3" t="inlineStr"/>
    </row>
    <row r="15">
      <c r="A15" s="3" t="inlineStr">
        <is>
          <t>VAL-012</t>
        </is>
      </c>
      <c r="B15" s="3" t="inlineStr">
        <is>
          <t>Silver</t>
        </is>
      </c>
      <c r="C15" s="3" t="inlineStr">
        <is>
          <t>encounters</t>
        </is>
      </c>
      <c r="D15" s="3" t="inlineStr">
        <is>
          <t>Referential Integrity</t>
        </is>
      </c>
      <c r="E15" s="3" t="inlineStr">
        <is>
          <t>Every encounter references an existing patient</t>
        </is>
      </c>
      <c r="F15" s="3" t="inlineStr">
        <is>
          <t>0 orphan encounter records</t>
        </is>
      </c>
      <c r="G15" s="3" t="inlineStr"/>
      <c r="H15" s="3" t="inlineStr">
        <is>
          <t>PENDING</t>
        </is>
      </c>
      <c r="I15" s="3" t="inlineStr">
        <is>
          <t>Critical</t>
        </is>
      </c>
      <c r="J15" s="3" t="inlineStr"/>
    </row>
    <row r="16">
      <c r="A16" s="3" t="inlineStr">
        <is>
          <t>VAL-013</t>
        </is>
      </c>
      <c r="B16" s="3" t="inlineStr">
        <is>
          <t>Silver</t>
        </is>
      </c>
      <c r="C16" s="3" t="inlineStr">
        <is>
          <t>observations</t>
        </is>
      </c>
      <c r="D16" s="3" t="inlineStr">
        <is>
          <t>Referential Integrity</t>
        </is>
      </c>
      <c r="E16" s="3" t="inlineStr">
        <is>
          <t>Every observation references an existing patient</t>
        </is>
      </c>
      <c r="F16" s="3" t="inlineStr">
        <is>
          <t>0 orphan patient references</t>
        </is>
      </c>
      <c r="G16" s="3" t="inlineStr"/>
      <c r="H16" s="3" t="inlineStr">
        <is>
          <t>PENDING</t>
        </is>
      </c>
      <c r="I16" s="3" t="inlineStr">
        <is>
          <t>Critical</t>
        </is>
      </c>
      <c r="J16" s="3" t="inlineStr"/>
    </row>
    <row r="17">
      <c r="A17" s="3" t="inlineStr">
        <is>
          <t>VAL-014</t>
        </is>
      </c>
      <c r="B17" s="3" t="inlineStr">
        <is>
          <t>Silver</t>
        </is>
      </c>
      <c r="C17" s="3" t="inlineStr">
        <is>
          <t>observations</t>
        </is>
      </c>
      <c r="D17" s="3" t="inlineStr">
        <is>
          <t>Referential Integrity</t>
        </is>
      </c>
      <c r="E17" s="3" t="inlineStr">
        <is>
          <t>Every observation references an existing encounter where required</t>
        </is>
      </c>
      <c r="F17" s="3" t="inlineStr">
        <is>
          <t>0 orphan encounter references</t>
        </is>
      </c>
      <c r="G17" s="3" t="inlineStr"/>
      <c r="H17" s="3" t="inlineStr">
        <is>
          <t>PENDING</t>
        </is>
      </c>
      <c r="I17" s="3" t="inlineStr">
        <is>
          <t>Critical</t>
        </is>
      </c>
      <c r="J17" s="3" t="inlineStr"/>
    </row>
    <row r="18">
      <c r="A18" s="3" t="inlineStr">
        <is>
          <t>VAL-015</t>
        </is>
      </c>
      <c r="B18" s="3" t="inlineStr">
        <is>
          <t>Silver</t>
        </is>
      </c>
      <c r="C18" s="3" t="inlineStr">
        <is>
          <t>conditions</t>
        </is>
      </c>
      <c r="D18" s="3" t="inlineStr">
        <is>
          <t>Referential Integrity</t>
        </is>
      </c>
      <c r="E18" s="3" t="inlineStr">
        <is>
          <t>Condition patient references exist in patient dimension/table</t>
        </is>
      </c>
      <c r="F18" s="3" t="inlineStr">
        <is>
          <t>0 orphan patient references</t>
        </is>
      </c>
      <c r="G18" s="3" t="inlineStr"/>
      <c r="H18" s="3" t="inlineStr">
        <is>
          <t>PENDING</t>
        </is>
      </c>
      <c r="I18" s="3" t="inlineStr">
        <is>
          <t>High</t>
        </is>
      </c>
      <c r="J18" s="3" t="inlineStr"/>
    </row>
    <row r="19">
      <c r="A19" s="3" t="inlineStr">
        <is>
          <t>VAL-016</t>
        </is>
      </c>
      <c r="B19" s="3" t="inlineStr">
        <is>
          <t>Silver</t>
        </is>
      </c>
      <c r="C19" s="3" t="inlineStr">
        <is>
          <t>procedures</t>
        </is>
      </c>
      <c r="D19" s="3" t="inlineStr">
        <is>
          <t>Referential Integrity</t>
        </is>
      </c>
      <c r="E19" s="3" t="inlineStr">
        <is>
          <t>Procedure patient references exist in patient dimension/table</t>
        </is>
      </c>
      <c r="F19" s="3" t="inlineStr">
        <is>
          <t>0 orphan patient references</t>
        </is>
      </c>
      <c r="G19" s="3" t="inlineStr"/>
      <c r="H19" s="3" t="inlineStr">
        <is>
          <t>PENDING</t>
        </is>
      </c>
      <c r="I19" s="3" t="inlineStr">
        <is>
          <t>High</t>
        </is>
      </c>
      <c r="J19" s="3" t="inlineStr"/>
    </row>
    <row r="20">
      <c r="A20" s="3" t="inlineStr">
        <is>
          <t>VAL-017</t>
        </is>
      </c>
      <c r="B20" s="3" t="inlineStr">
        <is>
          <t>Silver</t>
        </is>
      </c>
      <c r="C20" s="3" t="inlineStr">
        <is>
          <t>encounters</t>
        </is>
      </c>
      <c r="D20" s="3" t="inlineStr">
        <is>
          <t>Date Validation</t>
        </is>
      </c>
      <c r="E20" s="3" t="inlineStr">
        <is>
          <t>Encounter start is valid and precedes or equals stop</t>
        </is>
      </c>
      <c r="F20" s="3" t="inlineStr">
        <is>
          <t>0 invalid date sequences</t>
        </is>
      </c>
      <c r="G20" s="3" t="inlineStr"/>
      <c r="H20" s="3" t="inlineStr">
        <is>
          <t>PENDING</t>
        </is>
      </c>
      <c r="I20" s="3" t="inlineStr">
        <is>
          <t>High</t>
        </is>
      </c>
      <c r="J20" s="3" t="inlineStr"/>
    </row>
    <row r="21">
      <c r="A21" s="3" t="inlineStr">
        <is>
          <t>VAL-018</t>
        </is>
      </c>
      <c r="B21" s="3" t="inlineStr">
        <is>
          <t>Silver</t>
        </is>
      </c>
      <c r="C21" s="3" t="inlineStr">
        <is>
          <t>patients</t>
        </is>
      </c>
      <c r="D21" s="3" t="inlineStr">
        <is>
          <t>Date Validation</t>
        </is>
      </c>
      <c r="E21" s="3" t="inlineStr">
        <is>
          <t>Birth/death dates are logically valid</t>
        </is>
      </c>
      <c r="F21" s="3" t="inlineStr">
        <is>
          <t>0 invalid date sequences</t>
        </is>
      </c>
      <c r="G21" s="3" t="inlineStr"/>
      <c r="H21" s="3" t="inlineStr">
        <is>
          <t>PENDING</t>
        </is>
      </c>
      <c r="I21" s="3" t="inlineStr">
        <is>
          <t>Medium</t>
        </is>
      </c>
      <c r="J21" s="3" t="inlineStr"/>
    </row>
    <row r="22">
      <c r="A22" s="3" t="inlineStr">
        <is>
          <t>VAL-019</t>
        </is>
      </c>
      <c r="B22" s="3" t="inlineStr">
        <is>
          <t>Silver</t>
        </is>
      </c>
      <c r="C22" s="3" t="inlineStr">
        <is>
          <t>observations</t>
        </is>
      </c>
      <c r="D22" s="3" t="inlineStr">
        <is>
          <t>Data Type</t>
        </is>
      </c>
      <c r="E22" s="3" t="inlineStr">
        <is>
          <t>Observation values are converted to the intended target data type</t>
        </is>
      </c>
      <c r="F22" s="3" t="inlineStr">
        <is>
          <t>No unexpected conversion failures</t>
        </is>
      </c>
      <c r="G22" s="3" t="inlineStr"/>
      <c r="H22" s="3" t="inlineStr">
        <is>
          <t>PENDING</t>
        </is>
      </c>
      <c r="I22" s="3" t="inlineStr">
        <is>
          <t>High</t>
        </is>
      </c>
      <c r="J22" s="3" t="inlineStr"/>
    </row>
    <row r="23">
      <c r="A23" s="3" t="inlineStr">
        <is>
          <t>VAL-020</t>
        </is>
      </c>
      <c r="B23" s="3" t="inlineStr">
        <is>
          <t>Silver</t>
        </is>
      </c>
      <c r="C23" s="3" t="inlineStr">
        <is>
          <t>all core datasets</t>
        </is>
      </c>
      <c r="D23" s="3" t="inlineStr">
        <is>
          <t>Standardization</t>
        </is>
      </c>
      <c r="E23" s="3" t="inlineStr">
        <is>
          <t>Empty strings are converted to NULL where required</t>
        </is>
      </c>
      <c r="F23" s="3" t="inlineStr">
        <is>
          <t>0 unexpected empty strings</t>
        </is>
      </c>
      <c r="G23" s="3" t="inlineStr"/>
      <c r="H23" s="3" t="inlineStr">
        <is>
          <t>PENDING</t>
        </is>
      </c>
      <c r="I23" s="3" t="inlineStr">
        <is>
          <t>Medium</t>
        </is>
      </c>
      <c r="J23" s="3" t="inlineStr"/>
    </row>
    <row r="24">
      <c r="A24" s="3" t="inlineStr">
        <is>
          <t>VAL-021</t>
        </is>
      </c>
      <c r="B24" s="3" t="inlineStr">
        <is>
          <t>Gold</t>
        </is>
      </c>
      <c r="C24" s="3" t="inlineStr">
        <is>
          <t>dimension/fact tables</t>
        </is>
      </c>
      <c r="D24" s="3" t="inlineStr">
        <is>
          <t>Schema Validation</t>
        </is>
      </c>
      <c r="E24" s="3" t="inlineStr">
        <is>
          <t>All required target tables and columns exist</t>
        </is>
      </c>
      <c r="F24" s="3" t="inlineStr">
        <is>
          <t>All expected objects exist</t>
        </is>
      </c>
      <c r="G24" s="3" t="inlineStr"/>
      <c r="H24" s="3" t="inlineStr">
        <is>
          <t>PENDING</t>
        </is>
      </c>
      <c r="I24" s="3" t="inlineStr">
        <is>
          <t>Critical</t>
        </is>
      </c>
      <c r="J24" s="3" t="inlineStr"/>
    </row>
    <row r="25">
      <c r="A25" s="3" t="inlineStr">
        <is>
          <t>VAL-022</t>
        </is>
      </c>
      <c r="B25" s="3" t="inlineStr">
        <is>
          <t>Gold</t>
        </is>
      </c>
      <c r="C25" s="3" t="inlineStr">
        <is>
          <t>dimension/fact tables</t>
        </is>
      </c>
      <c r="D25" s="3" t="inlineStr">
        <is>
          <t>Data Load</t>
        </is>
      </c>
      <c r="E25" s="3" t="inlineStr">
        <is>
          <t>Curated/warehouse tables are populated correctly</t>
        </is>
      </c>
      <c r="F25" s="3" t="inlineStr">
        <is>
          <t>Target row counts match approved reconciliation</t>
        </is>
      </c>
      <c r="G25" s="3" t="inlineStr"/>
      <c r="H25" s="3" t="inlineStr">
        <is>
          <t>PENDING</t>
        </is>
      </c>
      <c r="I25" s="3" t="inlineStr">
        <is>
          <t>Critical</t>
        </is>
      </c>
      <c r="J25" s="3" t="inlineStr"/>
    </row>
    <row r="26">
      <c r="A26" s="3" t="inlineStr">
        <is>
          <t>VAL-023</t>
        </is>
      </c>
      <c r="B26" s="3" t="inlineStr">
        <is>
          <t>Gold</t>
        </is>
      </c>
      <c r="C26" s="3" t="inlineStr">
        <is>
          <t>fact tables</t>
        </is>
      </c>
      <c r="D26" s="3" t="inlineStr">
        <is>
          <t>Referential Integrity</t>
        </is>
      </c>
      <c r="E26" s="3" t="inlineStr">
        <is>
          <t>Fact foreign keys map to dimension records</t>
        </is>
      </c>
      <c r="F26" s="3" t="inlineStr">
        <is>
          <t>0 orphan foreign keys</t>
        </is>
      </c>
      <c r="G26" s="3" t="inlineStr"/>
      <c r="H26" s="3" t="inlineStr">
        <is>
          <t>PENDING</t>
        </is>
      </c>
      <c r="I26" s="3" t="inlineStr">
        <is>
          <t>Critical</t>
        </is>
      </c>
      <c r="J26" s="3" t="inlineStr"/>
    </row>
    <row r="27">
      <c r="A27" s="3" t="inlineStr">
        <is>
          <t>VAL-024</t>
        </is>
      </c>
      <c r="B27" s="3" t="inlineStr">
        <is>
          <t>Gold</t>
        </is>
      </c>
      <c r="C27" s="3" t="inlineStr">
        <is>
          <t>all warehouse tables</t>
        </is>
      </c>
      <c r="D27" s="3" t="inlineStr">
        <is>
          <t>Duplicate Check</t>
        </is>
      </c>
      <c r="E27" s="3" t="inlineStr">
        <is>
          <t>No unintended duplicate business keys exist</t>
        </is>
      </c>
      <c r="F27" s="3" t="inlineStr">
        <is>
          <t>0 unresolved duplicate business keys</t>
        </is>
      </c>
      <c r="G27" s="3" t="inlineStr"/>
      <c r="H27" s="3" t="inlineStr">
        <is>
          <t>PENDING</t>
        </is>
      </c>
      <c r="I27" s="3" t="inlineStr">
        <is>
          <t>High</t>
        </is>
      </c>
      <c r="J27" s="3" t="inlineStr"/>
    </row>
    <row r="28">
      <c r="A28" s="3" t="inlineStr">
        <is>
          <t>VAL-025</t>
        </is>
      </c>
      <c r="B28" s="3" t="inlineStr">
        <is>
          <t>Gold</t>
        </is>
      </c>
      <c r="C28" s="3" t="inlineStr">
        <is>
          <t>all warehouse tables</t>
        </is>
      </c>
      <c r="D28" s="3" t="inlineStr">
        <is>
          <t>Data Quality</t>
        </is>
      </c>
      <c r="E28" s="3" t="inlineStr">
        <is>
          <t>No unexpected nulls in mandatory target columns</t>
        </is>
      </c>
      <c r="F28" s="3" t="inlineStr">
        <is>
          <t>0 unexpected nulls</t>
        </is>
      </c>
      <c r="G28" s="3" t="inlineStr"/>
      <c r="H28" s="3" t="inlineStr">
        <is>
          <t>PENDING</t>
        </is>
      </c>
      <c r="I28" s="3" t="inlineStr">
        <is>
          <t>High</t>
        </is>
      </c>
      <c r="J28" s="3" t="inlineStr"/>
    </row>
    <row r="29">
      <c r="A29" s="3" t="inlineStr">
        <is>
          <t>VAL-026</t>
        </is>
      </c>
      <c r="B29" s="3" t="inlineStr">
        <is>
          <t>ETL</t>
        </is>
      </c>
      <c r="C29" s="3" t="inlineStr">
        <is>
          <t>Pentaho transformations</t>
        </is>
      </c>
      <c r="D29" s="3" t="inlineStr">
        <is>
          <t>ETL Execution</t>
        </is>
      </c>
      <c r="E29" s="3" t="inlineStr">
        <is>
          <t>All required Pentaho transformations complete without errors</t>
        </is>
      </c>
      <c r="F29" s="3" t="inlineStr">
        <is>
          <t>0 transformation errors</t>
        </is>
      </c>
      <c r="G29" s="3" t="inlineStr"/>
      <c r="H29" s="3" t="inlineStr">
        <is>
          <t>PENDING</t>
        </is>
      </c>
      <c r="I29" s="3" t="inlineStr">
        <is>
          <t>Critical</t>
        </is>
      </c>
      <c r="J29" s="3" t="inlineStr">
        <is>
          <t>Attach/review Spoon logs</t>
        </is>
      </c>
    </row>
    <row r="30">
      <c r="A30" s="3" t="inlineStr">
        <is>
          <t>VAL-027</t>
        </is>
      </c>
      <c r="B30" s="3" t="inlineStr">
        <is>
          <t>ETL</t>
        </is>
      </c>
      <c r="C30" s="3" t="inlineStr">
        <is>
          <t>Pentaho jobs</t>
        </is>
      </c>
      <c r="D30" s="3" t="inlineStr">
        <is>
          <t>ETL Execution</t>
        </is>
      </c>
      <c r="E30" s="3" t="inlineStr">
        <is>
          <t>ETL jobs complete successfully</t>
        </is>
      </c>
      <c r="F30" s="3" t="inlineStr">
        <is>
          <t>Job status = Success</t>
        </is>
      </c>
      <c r="G30" s="3" t="inlineStr"/>
      <c r="H30" s="3" t="inlineStr">
        <is>
          <t>PENDING</t>
        </is>
      </c>
      <c r="I30" s="3" t="inlineStr">
        <is>
          <t>Critical</t>
        </is>
      </c>
      <c r="J30" s="3" t="inlineStr"/>
    </row>
    <row r="31">
      <c r="A31" s="3" t="inlineStr">
        <is>
          <t>VAL-028</t>
        </is>
      </c>
      <c r="B31" s="3" t="inlineStr">
        <is>
          <t>Reconciliation</t>
        </is>
      </c>
      <c r="C31" s="3" t="inlineStr">
        <is>
          <t>Patient data</t>
        </is>
      </c>
      <c r="D31" s="3" t="inlineStr">
        <is>
          <t>Reconciliation</t>
        </is>
      </c>
      <c r="E31" s="3" t="inlineStr">
        <is>
          <t>Patient source-to-target record count reconciles</t>
        </is>
      </c>
      <c r="F31" s="3" t="inlineStr">
        <is>
          <t>Difference = 0 or documented exception</t>
        </is>
      </c>
      <c r="G31" s="3" t="inlineStr"/>
      <c r="H31" s="3" t="inlineStr">
        <is>
          <t>PENDING</t>
        </is>
      </c>
      <c r="I31" s="3" t="inlineStr">
        <is>
          <t>Critical</t>
        </is>
      </c>
      <c r="J31" s="3" t="inlineStr"/>
    </row>
    <row r="32">
      <c r="A32" s="3" t="inlineStr">
        <is>
          <t>VAL-029</t>
        </is>
      </c>
      <c r="B32" s="3" t="inlineStr">
        <is>
          <t>Reconciliation</t>
        </is>
      </c>
      <c r="C32" s="3" t="inlineStr">
        <is>
          <t>Billing data</t>
        </is>
      </c>
      <c r="D32" s="3" t="inlineStr">
        <is>
          <t>Reconciliation</t>
        </is>
      </c>
      <c r="E32" s="3" t="inlineStr">
        <is>
          <t>Billing source-to-target values reconcile</t>
        </is>
      </c>
      <c r="F32" s="3" t="inlineStr">
        <is>
          <t>Difference = 0 or documented exception</t>
        </is>
      </c>
      <c r="G32" s="3" t="inlineStr"/>
      <c r="H32" s="3" t="inlineStr">
        <is>
          <t>PENDING</t>
        </is>
      </c>
      <c r="I32" s="3" t="inlineStr">
        <is>
          <t>Critical</t>
        </is>
      </c>
      <c r="J32" s="3" t="inlineStr">
        <is>
          <t>Sprint 3 requirement</t>
        </is>
      </c>
    </row>
    <row r="33">
      <c r="A33" s="3" t="inlineStr">
        <is>
          <t>VAL-030</t>
        </is>
      </c>
      <c r="B33" s="3" t="inlineStr">
        <is>
          <t>Governance</t>
        </is>
      </c>
      <c r="C33" s="3" t="inlineStr">
        <is>
          <t>Source-to-target mapping</t>
        </is>
      </c>
      <c r="D33" s="3" t="inlineStr">
        <is>
          <t>Lineage</t>
        </is>
      </c>
      <c r="E33" s="3" t="inlineStr">
        <is>
          <t>Source-to-target mappings are documented</t>
        </is>
      </c>
      <c r="F33" s="3" t="inlineStr">
        <is>
          <t>100% of required mappings documented</t>
        </is>
      </c>
      <c r="G33" s="3" t="inlineStr"/>
      <c r="H33" s="3" t="inlineStr">
        <is>
          <t>PENDING</t>
        </is>
      </c>
      <c r="I33" s="3" t="inlineStr">
        <is>
          <t>High</t>
        </is>
      </c>
      <c r="J33" s="3" t="inlineStr"/>
    </row>
    <row r="34">
      <c r="A34" s="3" t="inlineStr">
        <is>
          <t>VAL-031</t>
        </is>
      </c>
      <c r="B34" s="3" t="inlineStr">
        <is>
          <t>Governance</t>
        </is>
      </c>
      <c r="C34" s="3" t="inlineStr">
        <is>
          <t>Metadata</t>
        </is>
      </c>
      <c r="D34" s="3" t="inlineStr">
        <is>
          <t>Metadata</t>
        </is>
      </c>
      <c r="E34" s="3" t="inlineStr">
        <is>
          <t>Required metadata is available for project datasets</t>
        </is>
      </c>
      <c r="F34" s="3" t="inlineStr">
        <is>
          <t>Metadata coverage complete</t>
        </is>
      </c>
      <c r="G34" s="3" t="inlineStr"/>
      <c r="H34" s="3" t="inlineStr">
        <is>
          <t>PENDING</t>
        </is>
      </c>
      <c r="I34" s="3" t="inlineStr">
        <is>
          <t>Medium</t>
        </is>
      </c>
      <c r="J34" s="3" t="inlineStr"/>
    </row>
    <row r="35">
      <c r="A35" s="3" t="inlineStr">
        <is>
          <t>VAL-032</t>
        </is>
      </c>
      <c r="B35" s="3" t="inlineStr">
        <is>
          <t>Documentation</t>
        </is>
      </c>
      <c r="C35" s="3" t="inlineStr">
        <is>
          <t>Git/GitHub</t>
        </is>
      </c>
      <c r="D35" s="3" t="inlineStr">
        <is>
          <t>Version Control</t>
        </is>
      </c>
      <c r="E35" s="3" t="inlineStr">
        <is>
          <t>Validation report and supporting files are committed to Git</t>
        </is>
      </c>
      <c r="F35" s="3" t="inlineStr">
        <is>
          <t>Commit exists with meaningful message</t>
        </is>
      </c>
      <c r="G35" s="3" t="inlineStr"/>
      <c r="H35" s="3" t="inlineStr">
        <is>
          <t>PENDING</t>
        </is>
      </c>
      <c r="I35" s="3" t="inlineStr">
        <is>
          <t>Medium</t>
        </is>
      </c>
      <c r="J35" s="3" t="inlineStr"/>
    </row>
  </sheetData>
  <mergeCells count="1">
    <mergeCell ref="A1:J1"/>
  </mergeCells>
  <conditionalFormatting sqref="H4:H35">
    <cfRule type="expression" priority="1" dxfId="0">
      <formula>H4="PASS"</formula>
    </cfRule>
    <cfRule type="expression" priority="2" dxfId="1">
      <formula>H4="FAIL"</formula>
    </cfRule>
    <cfRule type="expression" priority="3" dxfId="2">
      <formula>H4="WARNING"</formula>
    </cfRule>
    <cfRule type="expression" priority="4" dxfId="3">
      <formula>H4="PENDING"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1">
      <c r="A1" s="7" t="inlineStr">
        <is>
          <t>Dataset-Level Validation Entry Sheet</t>
        </is>
      </c>
    </row>
    <row r="2"/>
    <row r="3">
      <c r="A3" s="5" t="inlineStr">
        <is>
          <t>Dataset</t>
        </is>
      </c>
      <c r="B3" s="5" t="inlineStr">
        <is>
          <t>Source Rows</t>
        </is>
      </c>
      <c r="C3" s="5" t="inlineStr">
        <is>
          <t>Bronze/Staging Rows</t>
        </is>
      </c>
      <c r="D3" s="5" t="inlineStr">
        <is>
          <t>Silver Rows</t>
        </is>
      </c>
      <c r="E3" s="5" t="inlineStr">
        <is>
          <t>Gold Rows</t>
        </is>
      </c>
      <c r="F3" s="5" t="inlineStr">
        <is>
          <t>Null Issues</t>
        </is>
      </c>
      <c r="G3" s="5" t="inlineStr">
        <is>
          <t>Duplicate Issues</t>
        </is>
      </c>
      <c r="H3" s="5" t="inlineStr">
        <is>
          <t>Overall Status</t>
        </is>
      </c>
    </row>
    <row r="4">
      <c r="A4" s="3" t="inlineStr">
        <is>
          <t>patients</t>
        </is>
      </c>
      <c r="H4" s="3">
        <f>IF(COUNTA(B4:G4)=0,"PENDING",IF(OR(F4&gt;0,G4&gt;0),"REVIEW",IF(AND(B4=C4,C4&gt;=D4,D4&gt;=E4),"PASS","REVIEW")))</f>
        <v/>
      </c>
    </row>
    <row r="5">
      <c r="A5" s="3" t="inlineStr">
        <is>
          <t>encounters</t>
        </is>
      </c>
      <c r="H5" s="3">
        <f>IF(COUNTA(B5:G5)=0,"PENDING",IF(OR(F5&gt;0,G5&gt;0),"REVIEW",IF(AND(B5=C5,C5&gt;=D5,D5&gt;=E5),"PASS","REVIEW")))</f>
        <v/>
      </c>
    </row>
    <row r="6">
      <c r="A6" s="3" t="inlineStr">
        <is>
          <t>conditions</t>
        </is>
      </c>
      <c r="H6" s="3">
        <f>IF(COUNTA(B6:G6)=0,"PENDING",IF(OR(F6&gt;0,G6&gt;0),"REVIEW",IF(AND(B6=C6,C6&gt;=D6,D6&gt;=E6),"PASS","REVIEW")))</f>
        <v/>
      </c>
    </row>
    <row r="7">
      <c r="A7" s="3" t="inlineStr">
        <is>
          <t>procedures</t>
        </is>
      </c>
      <c r="H7" s="3">
        <f>IF(COUNTA(B7:G7)=0,"PENDING",IF(OR(F7&gt;0,G7&gt;0),"REVIEW",IF(AND(B7=C7,C7&gt;=D7,D7&gt;=E7),"PASS","REVIEW")))</f>
        <v/>
      </c>
    </row>
    <row r="8">
      <c r="A8" s="3" t="inlineStr">
        <is>
          <t>observations</t>
        </is>
      </c>
      <c r="H8" s="3">
        <f>IF(COUNTA(B8:G8)=0,"PENDING",IF(OR(F8&gt;0,G8&gt;0),"REVIEW",IF(AND(B8=C8,C8&gt;=D8,D8&gt;=E8),"PASS","REVIEW")))</f>
        <v/>
      </c>
    </row>
    <row r="9">
      <c r="A9" s="3" t="inlineStr">
        <is>
          <t>medications</t>
        </is>
      </c>
      <c r="H9" s="3">
        <f>IF(COUNTA(B9:G9)=0,"PENDING",IF(OR(F9&gt;0,G9&gt;0),"REVIEW",IF(AND(B9=C9,C9&gt;=D9,D9&gt;=E9),"PASS","REVIEW")))</f>
        <v/>
      </c>
    </row>
    <row r="10">
      <c r="A10" s="3" t="inlineStr">
        <is>
          <t>organizations</t>
        </is>
      </c>
      <c r="H10" s="3">
        <f>IF(COUNTA(B10:G10)=0,"PENDING",IF(OR(F10&gt;0,G10&gt;0),"REVIEW",IF(AND(B10=C10,C10&gt;=D10,D10&gt;=E10),"PASS","REVIEW")))</f>
        <v/>
      </c>
    </row>
    <row r="11">
      <c r="A11" s="3" t="inlineStr">
        <is>
          <t>providers</t>
        </is>
      </c>
      <c r="H11" s="3">
        <f>IF(COUNTA(B11:G11)=0,"PENDING",IF(OR(F11&gt;0,G11&gt;0),"REVIEW",IF(AND(B11=C11,C11&gt;=D11,D11&gt;=E11),"PASS","REVIEW")))</f>
        <v/>
      </c>
    </row>
    <row r="12">
      <c r="A12" s="3" t="inlineStr">
        <is>
          <t>payers</t>
        </is>
      </c>
      <c r="H12" s="3">
        <f>IF(COUNTA(B12:G12)=0,"PENDING",IF(OR(F12&gt;0,G12&gt;0),"REVIEW",IF(AND(B12=C12,C12&gt;=D12,D12&gt;=E12),"PASS","REVIEW")))</f>
        <v/>
      </c>
    </row>
    <row r="13">
      <c r="A13" s="3" t="inlineStr">
        <is>
          <t>claims</t>
        </is>
      </c>
      <c r="H13" s="3">
        <f>IF(COUNTA(B13:G13)=0,"PENDING",IF(OR(F13&gt;0,G13&gt;0),"REVIEW",IF(AND(B13=C13,C13&gt;=D13,D13&gt;=E13),"PASS","REVIEW")))</f>
        <v/>
      </c>
    </row>
    <row r="14">
      <c r="A14" s="3" t="inlineStr">
        <is>
          <t>imaging_studies</t>
        </is>
      </c>
      <c r="H14" s="3">
        <f>IF(COUNTA(B14:G14)=0,"PENDING",IF(OR(F14&gt;0,G14&gt;0),"REVIEW",IF(AND(B14=C14,C14&gt;=D14,D14&gt;=E14),"PASS","REVIEW")))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  <col width="15" customWidth="1" min="7" max="7"/>
    <col width="15" customWidth="1" min="8" max="8"/>
    <col width="30" customWidth="1" min="9" max="9"/>
  </cols>
  <sheetData>
    <row r="1">
      <c r="A1" s="7" t="inlineStr">
        <is>
          <t>Source-to-Target Reconciliation</t>
        </is>
      </c>
    </row>
    <row r="2"/>
    <row r="3">
      <c r="A3" s="5" t="inlineStr">
        <is>
          <t>Reconciliation ID</t>
        </is>
      </c>
      <c r="B3" s="5" t="inlineStr">
        <is>
          <t>Domain</t>
        </is>
      </c>
      <c r="C3" s="5" t="inlineStr">
        <is>
          <t>Source Metric</t>
        </is>
      </c>
      <c r="D3" s="5" t="inlineStr">
        <is>
          <t>Source Value</t>
        </is>
      </c>
      <c r="E3" s="5" t="inlineStr">
        <is>
          <t>Target Metric</t>
        </is>
      </c>
      <c r="F3" s="5" t="inlineStr">
        <is>
          <t>Target Value</t>
        </is>
      </c>
      <c r="G3" s="5" t="inlineStr">
        <is>
          <t>Difference</t>
        </is>
      </c>
      <c r="H3" s="5" t="inlineStr">
        <is>
          <t>Status</t>
        </is>
      </c>
      <c r="I3" s="5" t="inlineStr">
        <is>
          <t>Notes</t>
        </is>
      </c>
    </row>
    <row r="4">
      <c r="A4" s="3" t="inlineStr">
        <is>
          <t>REC-001</t>
        </is>
      </c>
      <c r="B4" s="3" t="inlineStr">
        <is>
          <t>Patients</t>
        </is>
      </c>
      <c r="C4" s="3" t="inlineStr">
        <is>
          <t>Source patient records</t>
        </is>
      </c>
      <c r="D4" s="3" t="inlineStr"/>
      <c r="E4" s="3" t="inlineStr">
        <is>
          <t>Target patient records</t>
        </is>
      </c>
      <c r="F4" s="3" t="inlineStr"/>
      <c r="G4" s="3">
        <f>IF(OR(D4="",F4=""),"",D4-F4)</f>
        <v/>
      </c>
      <c r="H4" s="3">
        <f>IF(G4="","PENDING",IF(G4=0,"PASS","FAIL"))</f>
        <v/>
      </c>
      <c r="I4" s="3" t="inlineStr"/>
    </row>
    <row r="5">
      <c r="A5" s="3" t="inlineStr">
        <is>
          <t>REC-002</t>
        </is>
      </c>
      <c r="B5" s="3" t="inlineStr">
        <is>
          <t>Encounters</t>
        </is>
      </c>
      <c r="C5" s="3" t="inlineStr">
        <is>
          <t>Source encounter records</t>
        </is>
      </c>
      <c r="D5" s="3" t="inlineStr"/>
      <c r="E5" s="3" t="inlineStr">
        <is>
          <t>Target encounter records</t>
        </is>
      </c>
      <c r="F5" s="3" t="inlineStr"/>
      <c r="G5" s="3">
        <f>IF(OR(D5="",F5=""),"",D5-F5)</f>
        <v/>
      </c>
      <c r="H5" s="3">
        <f>IF(G5="","PENDING",IF(G5=0,"PASS","FAIL"))</f>
        <v/>
      </c>
      <c r="I5" s="3" t="inlineStr"/>
    </row>
    <row r="6">
      <c r="A6" s="3" t="inlineStr">
        <is>
          <t>REC-003</t>
        </is>
      </c>
      <c r="B6" s="3" t="inlineStr">
        <is>
          <t>Conditions</t>
        </is>
      </c>
      <c r="C6" s="3" t="inlineStr">
        <is>
          <t>Source condition records</t>
        </is>
      </c>
      <c r="D6" s="3" t="inlineStr"/>
      <c r="E6" s="3" t="inlineStr">
        <is>
          <t>Target condition records</t>
        </is>
      </c>
      <c r="F6" s="3" t="inlineStr"/>
      <c r="G6" s="3">
        <f>IF(OR(D6="",F6=""),"",D6-F6)</f>
        <v/>
      </c>
      <c r="H6" s="3">
        <f>IF(G6="","PENDING",IF(G6=0,"PASS","FAIL"))</f>
        <v/>
      </c>
      <c r="I6" s="3" t="inlineStr"/>
    </row>
    <row r="7">
      <c r="A7" s="3" t="inlineStr">
        <is>
          <t>REC-004</t>
        </is>
      </c>
      <c r="B7" s="3" t="inlineStr">
        <is>
          <t>Procedures</t>
        </is>
      </c>
      <c r="C7" s="3" t="inlineStr">
        <is>
          <t>Source procedure records</t>
        </is>
      </c>
      <c r="D7" s="3" t="inlineStr"/>
      <c r="E7" s="3" t="inlineStr">
        <is>
          <t>Target procedure records</t>
        </is>
      </c>
      <c r="F7" s="3" t="inlineStr"/>
      <c r="G7" s="3">
        <f>IF(OR(D7="",F7=""),"",D7-F7)</f>
        <v/>
      </c>
      <c r="H7" s="3">
        <f>IF(G7="","PENDING",IF(G7=0,"PASS","FAIL"))</f>
        <v/>
      </c>
      <c r="I7" s="3" t="inlineStr"/>
    </row>
    <row r="8">
      <c r="A8" s="3" t="inlineStr">
        <is>
          <t>REC-005</t>
        </is>
      </c>
      <c r="B8" s="3" t="inlineStr">
        <is>
          <t>Observations</t>
        </is>
      </c>
      <c r="C8" s="3" t="inlineStr">
        <is>
          <t>Source observation records</t>
        </is>
      </c>
      <c r="D8" s="3" t="inlineStr"/>
      <c r="E8" s="3" t="inlineStr">
        <is>
          <t>Target observation records</t>
        </is>
      </c>
      <c r="F8" s="3" t="inlineStr"/>
      <c r="G8" s="3">
        <f>IF(OR(D8="",F8=""),"",D8-F8)</f>
        <v/>
      </c>
      <c r="H8" s="3">
        <f>IF(G8="","PENDING",IF(G8=0,"PASS","FAIL"))</f>
        <v/>
      </c>
      <c r="I8" s="3" t="inlineStr"/>
    </row>
    <row r="9">
      <c r="A9" s="3" t="inlineStr">
        <is>
          <t>REC-006</t>
        </is>
      </c>
      <c r="B9" s="3" t="inlineStr">
        <is>
          <t>Billing</t>
        </is>
      </c>
      <c r="C9" s="3" t="inlineStr">
        <is>
          <t>Source billing total</t>
        </is>
      </c>
      <c r="D9" s="3" t="inlineStr"/>
      <c r="E9" s="3" t="inlineStr">
        <is>
          <t>Target billing total</t>
        </is>
      </c>
      <c r="F9" s="3" t="inlineStr"/>
      <c r="G9" s="3">
        <f>IF(OR(D9="",F9=""),"",D9-F9)</f>
        <v/>
      </c>
      <c r="H9" s="3">
        <f>IF(G9="","PENDING",IF(G9=0,"PASS","FAIL"))</f>
        <v/>
      </c>
      <c r="I9" s="3" t="inlineStr">
        <is>
          <t>Required by Sprint 3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42" customWidth="1" min="3" max="3"/>
    <col width="42" customWidth="1" min="4" max="4"/>
    <col width="42" customWidth="1" min="5" max="5"/>
  </cols>
  <sheetData>
    <row r="1">
      <c r="A1" s="7" t="inlineStr">
        <is>
          <t>Validation Rule Definitions</t>
        </is>
      </c>
    </row>
    <row r="2"/>
    <row r="3">
      <c r="A3" s="5" t="inlineStr">
        <is>
          <t>Category</t>
        </is>
      </c>
      <c r="B3" s="5" t="inlineStr">
        <is>
          <t>Rule</t>
        </is>
      </c>
      <c r="C3" s="5" t="inlineStr">
        <is>
          <t>Purpose</t>
        </is>
      </c>
      <c r="D3" s="5" t="inlineStr">
        <is>
          <t>Typical SQL/Python Check</t>
        </is>
      </c>
      <c r="E3" s="5" t="inlineStr">
        <is>
          <t>Pass Condition</t>
        </is>
      </c>
    </row>
    <row r="4">
      <c r="A4" s="3" t="inlineStr">
        <is>
          <t>Completeness</t>
        </is>
      </c>
      <c r="B4" s="3" t="inlineStr">
        <is>
          <t>Row count reconciliation</t>
        </is>
      </c>
      <c r="C4" s="3" t="inlineStr">
        <is>
          <t>Detect dropped records during ETL</t>
        </is>
      </c>
      <c r="D4" s="3" t="inlineStr">
        <is>
          <t>COUNT(*) source vs target</t>
        </is>
      </c>
      <c r="E4" s="3" t="inlineStr">
        <is>
          <t>Counts reconcile or exception documented</t>
        </is>
      </c>
    </row>
    <row r="5">
      <c r="A5" s="3" t="inlineStr">
        <is>
          <t>Null Check</t>
        </is>
      </c>
      <c r="B5" s="3" t="inlineStr">
        <is>
          <t>Mandatory fields cannot be null</t>
        </is>
      </c>
      <c r="C5" s="3" t="inlineStr">
        <is>
          <t>Protect required business keys and fields</t>
        </is>
      </c>
      <c r="D5" s="3" t="inlineStr">
        <is>
          <t>COUNT(*) WHERE column IS NULL</t>
        </is>
      </c>
      <c r="E5" s="3" t="inlineStr">
        <is>
          <t>0 unexpected nulls</t>
        </is>
      </c>
    </row>
    <row r="6">
      <c r="A6" s="3" t="inlineStr">
        <is>
          <t>Duplicate Check</t>
        </is>
      </c>
      <c r="B6" s="3" t="inlineStr">
        <is>
          <t>Business/primary keys must be unique</t>
        </is>
      </c>
      <c r="C6" s="3" t="inlineStr">
        <is>
          <t>Prevent duplicate records</t>
        </is>
      </c>
      <c r="D6" s="3" t="inlineStr">
        <is>
          <t>GROUP BY key HAVING COUNT(*) &gt; 1</t>
        </is>
      </c>
      <c r="E6" s="3" t="inlineStr">
        <is>
          <t>0 unresolved duplicates</t>
        </is>
      </c>
    </row>
    <row r="7">
      <c r="A7" s="3" t="inlineStr">
        <is>
          <t>Referential Integrity</t>
        </is>
      </c>
      <c r="B7" s="3" t="inlineStr">
        <is>
          <t>Foreign keys must resolve</t>
        </is>
      </c>
      <c r="C7" s="3" t="inlineStr">
        <is>
          <t>Protect relationships between clinical tables</t>
        </is>
      </c>
      <c r="D7" s="3" t="inlineStr">
        <is>
          <t>LEFT JOIN parent WHERE parent.id IS NULL</t>
        </is>
      </c>
      <c r="E7" s="3" t="inlineStr">
        <is>
          <t>0 orphan records</t>
        </is>
      </c>
    </row>
    <row r="8">
      <c r="A8" s="3" t="inlineStr">
        <is>
          <t>Date Validation</t>
        </is>
      </c>
      <c r="B8" s="3" t="inlineStr">
        <is>
          <t>Dates must be logically ordered</t>
        </is>
      </c>
      <c r="C8" s="3" t="inlineStr">
        <is>
          <t>Detect invalid clinical/operational timelines</t>
        </is>
      </c>
      <c r="D8" s="3" t="inlineStr">
        <is>
          <t>start &lt;= stop</t>
        </is>
      </c>
      <c r="E8" s="3" t="inlineStr">
        <is>
          <t>0 invalid sequences</t>
        </is>
      </c>
    </row>
    <row r="9">
      <c r="A9" s="3" t="inlineStr">
        <is>
          <t>Schema Validation</t>
        </is>
      </c>
      <c r="B9" s="3" t="inlineStr">
        <is>
          <t>Expected columns and types exist</t>
        </is>
      </c>
      <c r="C9" s="3" t="inlineStr">
        <is>
          <t>Ensure target structure is correct</t>
        </is>
      </c>
      <c r="D9" s="3" t="inlineStr">
        <is>
          <t>information_schema / dataframe dtypes</t>
        </is>
      </c>
      <c r="E9" s="3" t="inlineStr">
        <is>
          <t>All expected columns/types present</t>
        </is>
      </c>
    </row>
    <row r="10">
      <c r="A10" s="3" t="inlineStr">
        <is>
          <t>Standardization</t>
        </is>
      </c>
      <c r="B10" s="3" t="inlineStr">
        <is>
          <t>Empty strings handled consistently</t>
        </is>
      </c>
      <c r="C10" s="3" t="inlineStr">
        <is>
          <t>Improve data quality</t>
        </is>
      </c>
      <c r="D10" s="3" t="inlineStr">
        <is>
          <t>NULL/blank checks</t>
        </is>
      </c>
      <c r="E10" s="3" t="inlineStr">
        <is>
          <t>No unexpected blanks</t>
        </is>
      </c>
    </row>
    <row r="11">
      <c r="A11" s="3" t="inlineStr">
        <is>
          <t>Reconciliation</t>
        </is>
      </c>
      <c r="B11" s="3" t="inlineStr">
        <is>
          <t>Source and target metrics agree</t>
        </is>
      </c>
      <c r="C11" s="3" t="inlineStr">
        <is>
          <t>Confirm ETL completeness and accuracy</t>
        </is>
      </c>
      <c r="D11" s="3" t="inlineStr">
        <is>
          <t>SUM/COUNT source vs target</t>
        </is>
      </c>
      <c r="E11" s="3" t="inlineStr">
        <is>
          <t>Difference = 0 or approved exception</t>
        </is>
      </c>
    </row>
    <row r="12">
      <c r="A12" s="3" t="inlineStr">
        <is>
          <t>ETL Execution</t>
        </is>
      </c>
      <c r="B12" s="3" t="inlineStr">
        <is>
          <t>Pentaho jobs complete successfully</t>
        </is>
      </c>
      <c r="C12" s="3" t="inlineStr">
        <is>
          <t>Confirm pipeline execution</t>
        </is>
      </c>
      <c r="D12" s="3" t="inlineStr">
        <is>
          <t>Review Spoon/job logs</t>
        </is>
      </c>
      <c r="E12" s="3" t="inlineStr">
        <is>
          <t>No errors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7" t="inlineStr">
        <is>
          <t>How to use this validation_report.xlsx</t>
        </is>
      </c>
    </row>
    <row r="2"/>
    <row r="3" ht="28" customHeight="1">
      <c r="A3" s="3" t="inlineStr">
        <is>
          <t>1. Run the completed Pentaho transformations/jobs and confirm the Spoon logs show successful execution.</t>
        </is>
      </c>
    </row>
    <row r="4" ht="28" customHeight="1">
      <c r="A4" s="3" t="inlineStr">
        <is>
          <t>2. Query PostgreSQL for source/staging/silver/gold row counts and populate the Dataset Checks sheet.</t>
        </is>
      </c>
    </row>
    <row r="5" ht="28" customHeight="1">
      <c r="A5" s="3" t="inlineStr">
        <is>
          <t>3. Run null, duplicate, referential-integrity and date checks against the PostgreSQL tables.</t>
        </is>
      </c>
    </row>
    <row r="6" ht="28" customHeight="1">
      <c r="A6" s="3" t="inlineStr">
        <is>
          <t>4. Enter actual results and change the Status column in Validation Report from PENDING to PASS, FAIL or WARNING.</t>
        </is>
      </c>
    </row>
    <row r="7" ht="28" customHeight="1">
      <c r="A7" s="3" t="inlineStr">
        <is>
          <t>5. Populate the Reconciliation sheet for patient, encounter, clinical and billing checks. Sprint 3 specifically requires patient and billing reconciliation.</t>
        </is>
      </c>
    </row>
    <row r="8" ht="28" customHeight="1">
      <c r="A8" s="3" t="inlineStr">
        <is>
          <t>6. Review the Summary sheet. It automatically counts PASS/FAIL/WARNING/PENDING checks.</t>
        </is>
      </c>
    </row>
    <row r="9" ht="28" customHeight="1">
      <c r="A9" s="3" t="inlineStr">
        <is>
          <t>7. Do not claim PASS until the check has actually been executed in your project environment.</t>
        </is>
      </c>
    </row>
    <row r="10" ht="28" customHeight="1">
      <c r="A10" s="3" t="inlineStr">
        <is>
          <t>8. Save the completed workbook in your repository as validation_report.xlsx.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2026-10-16T05:04:58Z</dcterms:created>
  <dcterms:modified xmlns:dcterms="http://purl.org/dc/terms/" xmlns:xsi="http://www.w3.org/2001/XMLSchema-instance" xsi:type="dcterms:W3CDTF">2026-10-16T05:04:58Z</dcterms:modified>
</cp:coreProperties>
</file>